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LLIS\Documents\General\STEM\"/>
    </mc:Choice>
  </mc:AlternateContent>
  <xr:revisionPtr revIDLastSave="0" documentId="13_ncr:1_{64681DD5-569D-41B7-BCEE-7DA81979E38D}" xr6:coauthVersionLast="47" xr6:coauthVersionMax="47" xr10:uidLastSave="{00000000-0000-0000-0000-000000000000}"/>
  <bookViews>
    <workbookView xWindow="-15330" yWindow="-16320" windowWidth="29040" windowHeight="15720" xr2:uid="{595C7B62-064A-4A7C-8456-64265107A97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</calcChain>
</file>

<file path=xl/sharedStrings.xml><?xml version="1.0" encoding="utf-8"?>
<sst xmlns="http://schemas.openxmlformats.org/spreadsheetml/2006/main" count="16" uniqueCount="14">
  <si>
    <t>λ</t>
  </si>
  <si>
    <t>δ</t>
  </si>
  <si>
    <t>PT Cost</t>
  </si>
  <si>
    <t>Car Cost</t>
  </si>
  <si>
    <t>Proportion PT</t>
  </si>
  <si>
    <t>Binary Logit Model</t>
  </si>
  <si>
    <t>Ppt</t>
  </si>
  <si>
    <t>Cpt</t>
  </si>
  <si>
    <t>Ccar</t>
  </si>
  <si>
    <t>Proportion Public Transport</t>
  </si>
  <si>
    <t>Cost of public transport (generalised minutes)</t>
  </si>
  <si>
    <t>Car cost (generalised minutes)</t>
  </si>
  <si>
    <t>Sensitivity factor (0.04 standard value)</t>
  </si>
  <si>
    <t>Inconvenience and crowding penalty (recommend 20-40 minutes standard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</si>
</sst>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9" fontId="0" fillId="0" borderId="1" xfId="1" applyFont="1" applyBorder="1"/>
    <xf numFmtId="0" fontId="1" fillId="0" borderId="1" xfId="0" applyFont="1" applyBorder="1"/>
    <xf numFmtId="1" fontId="0" fillId="0" borderId="1" xfId="0" applyNumberFormat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95250</xdr:rowOff>
    </xdr:from>
    <xdr:to>
      <xdr:col>4</xdr:col>
      <xdr:colOff>180975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6E313-A81A-133D-0112-168669BF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"/>
          <a:ext cx="26193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A4BF-2691-4B51-B89E-50AA94423274}">
  <dimension ref="A1:O15"/>
  <sheetViews>
    <sheetView tabSelected="1" workbookViewId="0">
      <selection activeCell="J10" sqref="J10"/>
    </sheetView>
  </sheetViews>
  <sheetFormatPr defaultRowHeight="15" x14ac:dyDescent="0.25"/>
  <cols>
    <col min="12" max="12" width="13.28515625" bestFit="1" customWidth="1"/>
  </cols>
  <sheetData>
    <row r="1" spans="1:15" x14ac:dyDescent="0.25">
      <c r="A1" s="5" t="s">
        <v>5</v>
      </c>
      <c r="J1" s="1" t="s">
        <v>2</v>
      </c>
      <c r="K1" s="1" t="s">
        <v>3</v>
      </c>
      <c r="L1" s="1" t="s">
        <v>4</v>
      </c>
      <c r="N1" s="3" t="s">
        <v>0</v>
      </c>
      <c r="O1" s="1">
        <v>0.04</v>
      </c>
    </row>
    <row r="2" spans="1:15" x14ac:dyDescent="0.25">
      <c r="J2" s="1">
        <v>45</v>
      </c>
      <c r="K2" s="1">
        <v>30</v>
      </c>
      <c r="L2" s="2">
        <f>EXP(-$O$1*(J2+$O$2))/(EXP(-$O$1*K2)+EXP(-$O$1*(J2+$O$2)))</f>
        <v>0.14185106490048777</v>
      </c>
      <c r="N2" s="3" t="s">
        <v>1</v>
      </c>
      <c r="O2" s="4">
        <v>30</v>
      </c>
    </row>
    <row r="3" spans="1:15" x14ac:dyDescent="0.25">
      <c r="J3" s="1">
        <v>45</v>
      </c>
      <c r="K3" s="1">
        <v>45</v>
      </c>
      <c r="L3" s="2">
        <f>EXP(-$O$1*(J3+$O$2))/(EXP(-$O$1*K3)+EXP(-$O$1*(J3+$O$2)))</f>
        <v>0.23147521650098235</v>
      </c>
    </row>
    <row r="4" spans="1:15" x14ac:dyDescent="0.25">
      <c r="J4" s="1">
        <v>60</v>
      </c>
      <c r="K4" s="1">
        <v>30</v>
      </c>
      <c r="L4" s="2">
        <f>EXP(-$O$1*(J4+$O$2))/(EXP(-$O$1*K4)+EXP(-$O$1*(J4+$O$2)))</f>
        <v>8.3172696493922352E-2</v>
      </c>
    </row>
    <row r="5" spans="1:15" x14ac:dyDescent="0.25">
      <c r="J5" s="1">
        <v>45</v>
      </c>
      <c r="K5" s="1">
        <v>60</v>
      </c>
      <c r="L5" s="2">
        <f>EXP(-$O$1*(J5+$O$2))/(EXP(-$O$1*K5)+EXP(-$O$1*(J5+$O$2)))</f>
        <v>0.35434369377420449</v>
      </c>
    </row>
    <row r="6" spans="1:15" x14ac:dyDescent="0.25">
      <c r="J6" s="1">
        <v>30</v>
      </c>
      <c r="K6" s="1">
        <v>60</v>
      </c>
      <c r="L6" s="2">
        <f>EXP(-$O$1*(J6+$O$2))/(EXP(-$O$1*K6)+EXP(-$O$1*(J6+$O$2)))</f>
        <v>0.5</v>
      </c>
    </row>
    <row r="11" spans="1:15" x14ac:dyDescent="0.25">
      <c r="A11" t="s">
        <v>6</v>
      </c>
      <c r="B11" t="s">
        <v>9</v>
      </c>
    </row>
    <row r="12" spans="1:15" x14ac:dyDescent="0.25">
      <c r="A12" t="s">
        <v>7</v>
      </c>
      <c r="B12" t="s">
        <v>10</v>
      </c>
    </row>
    <row r="13" spans="1:15" x14ac:dyDescent="0.25">
      <c r="A13" t="s">
        <v>8</v>
      </c>
      <c r="B13" t="s">
        <v>11</v>
      </c>
    </row>
    <row r="14" spans="1:15" x14ac:dyDescent="0.25">
      <c r="A14" t="s">
        <v>0</v>
      </c>
      <c r="B14" t="s">
        <v>12</v>
      </c>
    </row>
    <row r="15" spans="1:15" x14ac:dyDescent="0.25">
      <c r="A15" t="s">
        <v>1</v>
      </c>
      <c r="B15" t="s">
        <v>13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EE91-D3CB-4067-9140-9B685ED4BD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792F-6063-4B04-A61D-C750D0221F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Collis, David</dc:creator>
  <cp:lastModifiedBy>Collis, David</cp:lastModifiedBy>
  <dcterms:created xsi:type="dcterms:W3CDTF">2025-01-14T09:14:13Z</dcterms:created>
  <dcterms:modified xsi:type="dcterms:W3CDTF">2025-07-09T15:03:31Z</dcterms:modified>
</cp:coreProperties>
</file>